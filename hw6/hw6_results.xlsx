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<sst xmlns="http://schemas.openxmlformats.org/spreadsheetml/2006/main" count="23" uniqueCount="23">
  <si>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TP</t>
  </si>
  <si>
    <t>FP</t>
  </si>
  <si>
    <t>FN</t>
  </si>
  <si>
    <t>TN</t>
  </si>
  <si>
    <t>Precision</t>
  </si>
  <si>
    <t>Recall</t>
  </si>
  <si>
    <t xml:space="preserve">F1 Score</t>
  </si>
  <si>
    <t>B1_TEST</t>
  </si>
  <si>
    <t>B2_TEST</t>
  </si>
  <si>
    <t>B1_ALL</t>
  </si>
  <si>
    <t>B2_ALL</t>
  </si>
  <si>
    <t>DITTO_B1_TEST</t>
  </si>
  <si>
    <t>DITTO_B2_TEST</t>
  </si>
  <si>
    <t>PIPELINE_DITTO_B1_TEST</t>
  </si>
  <si>
    <t>PIPELINE_DITTO_B2_TEST</t>
  </si>
  <si>
    <t>RECORDLINKAGE_B1_ALL</t>
  </si>
  <si>
    <t>RECORDLINKAGE_B2_ALL</t>
  </si>
  <si>
    <t>PIPELINE_RECORDLINKAGE_B1_ALL</t>
  </si>
  <si>
    <t>PIPELINE_RECORDLINKAGE_B2_ALL</t>
  </si>
  <si>
    <t>DEDUPE_B1_TEST</t>
  </si>
  <si>
    <t>DEDUPE_B2_TEST</t>
  </si>
  <si>
    <t>PIPELINE_DEDUPE_B1_TEST</t>
  </si>
  <si>
    <t>PIPELINE_DEDUPE_B2_TEST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</si>
</sst>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 style="none"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2" borderId="1" numFmtId="0" xfId="0" applyFill="1" applyBorder="1"/>
    <xf fontId="0" fillId="0" borderId="0" numFmtId="0" xfId="0"/>
    <xf fontId="0" fillId="0" borderId="1" numFmtId="0" xfId="0" applyBorder="1"/>
    <xf fontId="0" fillId="0" borderId="2" numFmtId="0" xfId="0" applyBorder="1"/>
    <xf fontId="0" fillId="2" borderId="3" numFmtId="0" xfId="0" applyFill="1" applyBorder="1"/>
    <xf fontId="0" fillId="2" borderId="3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5.140625"/>
  </cols>
  <sheetData>
    <row r="1" ht="14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ht="14.25">
      <c r="A2" t="s">
        <v>7</v>
      </c>
      <c r="B2">
        <v>1929</v>
      </c>
      <c r="C2">
        <v>15</v>
      </c>
      <c r="D2">
        <v>648</v>
      </c>
      <c r="E2">
        <v>2543</v>
      </c>
      <c r="F2">
        <f t="shared" ref="F2:F9" si="0">(B2/(B2+C2))</f>
        <v>0.99228395061728392</v>
      </c>
      <c r="G2">
        <f t="shared" ref="G2:G9" si="1">(B2/(B2+D2))</f>
        <v>0.7485448195576252</v>
      </c>
      <c r="H2">
        <f t="shared" ref="H2:H9" si="2">(2*((F2*G2)/(F2+G2)))</f>
        <v>0.85335102853351019</v>
      </c>
    </row>
    <row r="3" ht="14.25">
      <c r="A3" t="s">
        <v>8</v>
      </c>
      <c r="B3">
        <v>2459</v>
      </c>
      <c r="C3">
        <v>31</v>
      </c>
      <c r="D3">
        <v>118</v>
      </c>
      <c r="E3">
        <v>2527</v>
      </c>
      <c r="F3">
        <f t="shared" si="0"/>
        <v>0.98755020080321287</v>
      </c>
      <c r="G3">
        <f t="shared" si="1"/>
        <v>0.95421032207993794</v>
      </c>
      <c r="H3">
        <f t="shared" si="2"/>
        <v>0.97059403986579829</v>
      </c>
    </row>
    <row r="4" ht="14.25">
      <c r="A4" t="s">
        <v>9</v>
      </c>
      <c r="B4">
        <v>3241</v>
      </c>
      <c r="C4">
        <v>32</v>
      </c>
      <c r="D4">
        <v>1081</v>
      </c>
      <c r="E4">
        <v>4163</v>
      </c>
      <c r="F4">
        <f t="shared" si="0"/>
        <v>0.99022303696914149</v>
      </c>
      <c r="G4">
        <f t="shared" si="1"/>
        <v>0.74988431281813972</v>
      </c>
      <c r="H4">
        <f t="shared" si="2"/>
        <v>0.85345622119815678</v>
      </c>
    </row>
    <row r="5" ht="14.25">
      <c r="A5" t="s">
        <v>10</v>
      </c>
      <c r="B5">
        <v>4135</v>
      </c>
      <c r="C5">
        <v>69</v>
      </c>
      <c r="D5">
        <v>187</v>
      </c>
      <c r="E5">
        <v>4126</v>
      </c>
      <c r="F5">
        <f t="shared" si="0"/>
        <v>0.98358705994291151</v>
      </c>
      <c r="G5">
        <f t="shared" si="1"/>
        <v>0.95673299398426659</v>
      </c>
      <c r="H5">
        <f t="shared" si="2"/>
        <v>0.9699741965751818</v>
      </c>
    </row>
    <row r="6" ht="14.25">
      <c r="A6" t="s">
        <v>11</v>
      </c>
      <c r="B6">
        <v>1817</v>
      </c>
      <c r="C6">
        <v>2</v>
      </c>
      <c r="D6">
        <v>112</v>
      </c>
      <c r="E6">
        <v>13</v>
      </c>
      <c r="F6">
        <f t="shared" si="0"/>
        <v>0.99890049477735021</v>
      </c>
      <c r="G6">
        <f t="shared" si="1"/>
        <v>0.94193882840850185</v>
      </c>
      <c r="H6">
        <f t="shared" si="2"/>
        <v>0.96958377801494133</v>
      </c>
    </row>
    <row r="7" ht="14.25">
      <c r="A7" t="s">
        <v>12</v>
      </c>
      <c r="B7">
        <v>2314</v>
      </c>
      <c r="C7">
        <v>7</v>
      </c>
      <c r="D7">
        <v>145</v>
      </c>
      <c r="E7">
        <v>24</v>
      </c>
      <c r="F7">
        <f t="shared" si="0"/>
        <v>0.99698405859543304</v>
      </c>
      <c r="G7">
        <f t="shared" si="1"/>
        <v>0.94103294021960149</v>
      </c>
      <c r="H7">
        <f t="shared" si="2"/>
        <v>0.96820083682008373</v>
      </c>
    </row>
    <row r="8" ht="14.25">
      <c r="A8" s="1" t="s">
        <v>13</v>
      </c>
      <c r="B8" s="1">
        <f t="shared" ref="B8:B9" si="3">B6</f>
        <v>1817</v>
      </c>
      <c r="C8" s="1">
        <f t="shared" ref="C8:C9" si="4">C6</f>
        <v>2</v>
      </c>
      <c r="D8" s="1">
        <f t="shared" ref="D8:D9" si="5">D6+D2</f>
        <v>760</v>
      </c>
      <c r="E8" s="1">
        <f t="shared" ref="E8:E9" si="6">E6+E2</f>
        <v>2556</v>
      </c>
      <c r="F8" s="1">
        <f t="shared" si="0"/>
        <v>0.99890049477735021</v>
      </c>
      <c r="G8" s="1">
        <f t="shared" si="1"/>
        <v>0.7050834303453628</v>
      </c>
      <c r="H8" s="1">
        <f t="shared" si="2"/>
        <v>0.8266606005459507</v>
      </c>
    </row>
    <row r="9" ht="14.25">
      <c r="A9" s="1" t="s">
        <v>14</v>
      </c>
      <c r="B9" s="1">
        <f t="shared" si="3"/>
        <v>2314</v>
      </c>
      <c r="C9" s="1">
        <f t="shared" si="4"/>
        <v>7</v>
      </c>
      <c r="D9" s="1">
        <f t="shared" si="5"/>
        <v>263</v>
      </c>
      <c r="E9" s="1">
        <f t="shared" si="6"/>
        <v>2551</v>
      </c>
      <c r="F9" s="1">
        <f t="shared" si="0"/>
        <v>0.99698405859543304</v>
      </c>
      <c r="G9" s="1">
        <f t="shared" si="1"/>
        <v>0.8979433449747769</v>
      </c>
      <c r="H9" s="1">
        <f t="shared" si="2"/>
        <v>0.9448754593711719</v>
      </c>
    </row>
    <row r="10" ht="14.25">
      <c r="A10" s="2" t="s">
        <v>15</v>
      </c>
      <c r="B10" s="2">
        <v>3050</v>
      </c>
      <c r="C10" s="2">
        <v>8</v>
      </c>
      <c r="D10" s="2">
        <v>191</v>
      </c>
      <c r="E10" s="2">
        <v>24</v>
      </c>
      <c r="F10" s="2">
        <f t="shared" ref="F10:F13" si="7">(B10/(B10+C10))</f>
        <v>0.99738391105297575</v>
      </c>
      <c r="G10" s="2">
        <f t="shared" ref="G10:G13" si="8">(B10/(B10+D10))</f>
        <v>0.94106757173711819</v>
      </c>
      <c r="H10" s="2">
        <f t="shared" ref="H10:H13" si="9">(2*((F10*G10)/(F10+G10)))</f>
        <v>0.96840768375932684</v>
      </c>
    </row>
    <row r="11" ht="14.25">
      <c r="A11" s="2" t="s">
        <v>16</v>
      </c>
      <c r="B11" s="2">
        <v>3816</v>
      </c>
      <c r="C11" s="2">
        <v>8</v>
      </c>
      <c r="D11" s="2">
        <v>319</v>
      </c>
      <c r="E11" s="2">
        <v>61</v>
      </c>
      <c r="F11" s="2">
        <f t="shared" si="7"/>
        <v>0.997907949790795</v>
      </c>
      <c r="G11" s="2">
        <f t="shared" si="8"/>
        <v>0.92285368802902057</v>
      </c>
      <c r="H11" s="2">
        <f t="shared" si="9"/>
        <v>0.95891443648699592</v>
      </c>
    </row>
    <row r="12" ht="14.25">
      <c r="A12" s="1" t="s">
        <v>17</v>
      </c>
      <c r="B12" s="1">
        <f t="shared" ref="B12:B13" si="10">B10</f>
        <v>3050</v>
      </c>
      <c r="C12" s="1">
        <f t="shared" ref="C12:C13" si="11">C10</f>
        <v>8</v>
      </c>
      <c r="D12" s="1">
        <f t="shared" ref="D12:D13" si="12">D10+D4</f>
        <v>1272</v>
      </c>
      <c r="E12" s="1">
        <f t="shared" ref="E12:E13" si="13">E10+E4</f>
        <v>4187</v>
      </c>
      <c r="F12" s="1">
        <f t="shared" si="7"/>
        <v>0.99738391105297575</v>
      </c>
      <c r="G12" s="1">
        <f t="shared" si="8"/>
        <v>0.70569180934752429</v>
      </c>
      <c r="H12" s="1">
        <f t="shared" si="9"/>
        <v>0.82655826558265588</v>
      </c>
    </row>
    <row r="13" ht="14.25">
      <c r="A13" s="1" t="s">
        <v>18</v>
      </c>
      <c r="B13" s="1">
        <f t="shared" si="10"/>
        <v>3816</v>
      </c>
      <c r="C13" s="1">
        <f t="shared" si="11"/>
        <v>8</v>
      </c>
      <c r="D13" s="1">
        <f t="shared" si="12"/>
        <v>506</v>
      </c>
      <c r="E13" s="1">
        <f t="shared" si="13"/>
        <v>4187</v>
      </c>
      <c r="F13" s="1">
        <f t="shared" si="7"/>
        <v>0.997907949790795</v>
      </c>
      <c r="G13" s="1">
        <f t="shared" si="8"/>
        <v>0.88292457195742713</v>
      </c>
      <c r="H13" s="1">
        <f t="shared" si="9"/>
        <v>0.93690154677142146</v>
      </c>
    </row>
    <row r="14" ht="14.25">
      <c r="A14" t="s">
        <v>19</v>
      </c>
      <c r="B14">
        <v>1929</v>
      </c>
      <c r="C14">
        <v>15</v>
      </c>
      <c r="D14">
        <v>0</v>
      </c>
      <c r="E14">
        <v>0</v>
      </c>
      <c r="F14" s="3">
        <f>(B14/(B14+C14))</f>
        <v>0.99228395061728392</v>
      </c>
      <c r="G14" s="3">
        <f>(B14/(B14+D14))</f>
        <v>1</v>
      </c>
      <c r="H14" s="3">
        <f>(2*((F14*G14)/(F14+G14)))</f>
        <v>0.99612703330751351</v>
      </c>
    </row>
    <row r="15" ht="14.25">
      <c r="A15" t="s">
        <v>20</v>
      </c>
      <c r="B15">
        <v>2455</v>
      </c>
      <c r="C15">
        <v>28</v>
      </c>
      <c r="D15">
        <v>4</v>
      </c>
      <c r="E15">
        <v>3</v>
      </c>
      <c r="F15" s="4">
        <f>(B15/(B15+C15))</f>
        <v>0.98872331856625051</v>
      </c>
      <c r="G15" s="4">
        <f>(B15/(B15+D15))</f>
        <v>0.99837332248881661</v>
      </c>
      <c r="H15" s="4">
        <f>(2*((F15*G15)/(F15+G15)))</f>
        <v>0.99352488870902467</v>
      </c>
    </row>
    <row r="16" ht="14.25">
      <c r="A16" s="5" t="s">
        <v>21</v>
      </c>
      <c r="B16" s="5">
        <f>B14</f>
        <v>1929</v>
      </c>
      <c r="C16" s="5">
        <f>C14</f>
        <v>15</v>
      </c>
      <c r="D16" s="5">
        <f>D14+D2</f>
        <v>648</v>
      </c>
      <c r="E16" s="5">
        <f>E14+E2</f>
        <v>2543</v>
      </c>
      <c r="F16" s="5">
        <f>(B16/(B16+C16))</f>
        <v>0.99228395061728392</v>
      </c>
      <c r="G16" s="5">
        <f>(B16/(B16+D16))</f>
        <v>0.7485448195576252</v>
      </c>
      <c r="H16" s="5">
        <f>(2*((F16*G16)/(F16+G16)))</f>
        <v>0.85335102853351019</v>
      </c>
    </row>
    <row r="17" ht="14.25">
      <c r="A17" s="6" t="s">
        <v>22</v>
      </c>
      <c r="B17" s="5">
        <f>B15</f>
        <v>2455</v>
      </c>
      <c r="C17" s="5">
        <f>C15</f>
        <v>28</v>
      </c>
      <c r="D17" s="5">
        <f>D15+D3</f>
        <v>122</v>
      </c>
      <c r="E17" s="5">
        <f>E15+E3</f>
        <v>2530</v>
      </c>
      <c r="F17" s="5">
        <f>(B17/(B17+C17))</f>
        <v>0.98872331856625051</v>
      </c>
      <c r="G17" s="5">
        <f>(B17/(B17+D17))</f>
        <v>0.95265812960807139</v>
      </c>
      <c r="H17" s="5">
        <f>(2*((F17*G17)/(F17+G17)))</f>
        <v>0.9703557312252965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2026-02-21T17:01:15Z</dcterms:modified>
</cp:coreProperties>
</file>